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-\Downloads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D36" i="1" l="1"/>
  <c r="H35" i="1"/>
  <c r="F35" i="1"/>
  <c r="G35" i="1" s="1"/>
  <c r="I35" i="1" s="1"/>
  <c r="H34" i="1"/>
  <c r="F34" i="1"/>
  <c r="G34" i="1" s="1"/>
  <c r="I34" i="1" s="1"/>
  <c r="H33" i="1"/>
  <c r="F33" i="1"/>
  <c r="G33" i="1" s="1"/>
  <c r="I33" i="1" s="1"/>
  <c r="I32" i="1"/>
  <c r="H32" i="1"/>
  <c r="H31" i="1"/>
  <c r="G31" i="1"/>
  <c r="I31" i="1" s="1"/>
  <c r="F31" i="1"/>
  <c r="I30" i="1"/>
  <c r="H30" i="1"/>
  <c r="I29" i="1"/>
  <c r="H29" i="1"/>
  <c r="I28" i="1"/>
  <c r="H28" i="1"/>
  <c r="H27" i="1"/>
  <c r="F27" i="1"/>
  <c r="G27" i="1" s="1"/>
  <c r="I27" i="1" s="1"/>
  <c r="I26" i="1"/>
  <c r="H26" i="1"/>
  <c r="H25" i="1"/>
  <c r="G25" i="1"/>
  <c r="I25" i="1" s="1"/>
  <c r="F25" i="1"/>
  <c r="I24" i="1"/>
  <c r="H24" i="1"/>
  <c r="I23" i="1"/>
  <c r="H23" i="1"/>
  <c r="H22" i="1"/>
  <c r="F22" i="1"/>
  <c r="G22" i="1" s="1"/>
  <c r="I22" i="1" s="1"/>
  <c r="D17" i="1"/>
  <c r="I13" i="1"/>
  <c r="I11" i="1"/>
  <c r="I10" i="1"/>
  <c r="I9" i="1"/>
  <c r="I7" i="1"/>
  <c r="I5" i="1"/>
  <c r="I4" i="1"/>
  <c r="F15" i="1"/>
  <c r="G15" i="1" s="1"/>
  <c r="I15" i="1" s="1"/>
  <c r="F16" i="1"/>
  <c r="G16" i="1" s="1"/>
  <c r="F14" i="1"/>
  <c r="G14" i="1" s="1"/>
  <c r="G12" i="1"/>
  <c r="F8" i="1"/>
  <c r="G8" i="1" s="1"/>
  <c r="I8" i="1" s="1"/>
  <c r="F6" i="1"/>
  <c r="G6" i="1" s="1"/>
  <c r="I6" i="1" s="1"/>
  <c r="G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I3" i="1" l="1"/>
  <c r="J22" i="1"/>
  <c r="I12" i="1"/>
  <c r="I14" i="1"/>
  <c r="I16" i="1"/>
  <c r="J3" i="1" l="1"/>
</calcChain>
</file>

<file path=xl/sharedStrings.xml><?xml version="1.0" encoding="utf-8"?>
<sst xmlns="http://schemas.openxmlformats.org/spreadsheetml/2006/main" count="48" uniqueCount="22">
  <si>
    <t>Unlimited  20</t>
  </si>
  <si>
    <t>Unlimited  30</t>
  </si>
  <si>
    <t>Unlimited  50</t>
  </si>
  <si>
    <t>Basculement vers Unlimited  30</t>
  </si>
  <si>
    <t>Basculement vers Unlimited  50</t>
  </si>
  <si>
    <t>4G 1To</t>
  </si>
  <si>
    <t>4G 500 Go</t>
  </si>
  <si>
    <t>4G 200 Go / 85 Go</t>
  </si>
  <si>
    <t>Autres 4G postpayé</t>
  </si>
  <si>
    <t>4G Prépayé Litebox</t>
  </si>
  <si>
    <t>4G Prépayé T30</t>
  </si>
  <si>
    <t>4G Puce</t>
  </si>
  <si>
    <t>IZY Postpaid</t>
  </si>
  <si>
    <t>BOX TV</t>
  </si>
  <si>
    <t>Objectif</t>
  </si>
  <si>
    <t>Descriptif</t>
  </si>
  <si>
    <t>Prime max / Xt</t>
  </si>
  <si>
    <t>Réalisation</t>
  </si>
  <si>
    <t>Var Xt</t>
  </si>
  <si>
    <t>%</t>
  </si>
  <si>
    <t>Comm/objectif</t>
  </si>
  <si>
    <t>POINT DE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</si>
</sst>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vertical="center"/>
    </xf>
    <xf numFmtId="165" fontId="2" fillId="0" borderId="1" xfId="3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left" vertical="center"/>
    </xf>
    <xf numFmtId="9" fontId="2" fillId="0" borderId="1" xfId="2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0" fillId="2" borderId="0" xfId="0" applyFill="1"/>
    <xf numFmtId="9" fontId="2" fillId="0" borderId="1" xfId="2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 shrinkToFit="1"/>
    </xf>
    <xf numFmtId="9" fontId="2" fillId="0" borderId="1" xfId="2" applyFont="1" applyFill="1" applyBorder="1" applyAlignment="1">
      <alignment horizontal="center" vertical="center" shrinkToFit="1"/>
    </xf>
    <xf numFmtId="165" fontId="2" fillId="0" borderId="1" xfId="3" applyNumberFormat="1" applyFont="1" applyFill="1" applyBorder="1" applyAlignment="1">
      <alignment horizontal="center" vertical="center"/>
    </xf>
    <xf numFmtId="165" fontId="2" fillId="2" borderId="4" xfId="1" applyNumberFormat="1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165" fontId="2" fillId="0" borderId="4" xfId="3" applyNumberFormat="1" applyFont="1" applyFill="1" applyBorder="1" applyAlignment="1">
      <alignment horizontal="center" vertical="center"/>
    </xf>
    <xf numFmtId="165" fontId="2" fillId="0" borderId="5" xfId="3" applyNumberFormat="1" applyFont="1" applyFill="1" applyBorder="1" applyAlignment="1">
      <alignment horizontal="center" vertical="center"/>
    </xf>
    <xf numFmtId="165" fontId="2" fillId="0" borderId="6" xfId="3" applyNumberFormat="1" applyFont="1" applyFill="1" applyBorder="1" applyAlignment="1">
      <alignment horizontal="center" vertical="center"/>
    </xf>
  </cellXfs>
  <cellStyles count="4">
    <cellStyle name="Milliers" xfId="1" builtinId="3"/>
    <cellStyle name="Milliers 2" xf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tabSelected="1" workbookViewId="0">
      <selection activeCell="B16" sqref="B16"/>
    </sheetView>
  </sheetViews>
  <sheetFormatPr baseColWidth="10" defaultRowHeight="15" x14ac:dyDescent="0.25"/>
  <cols>
    <col min="2" max="2" width="33.85546875" bestFit="1" customWidth="1"/>
    <col min="3" max="3" width="16.7109375" bestFit="1" customWidth="1"/>
    <col min="4" max="4" width="14.28515625" customWidth="1"/>
    <col min="5" max="5" width="12.7109375" bestFit="1" customWidth="1"/>
    <col min="6" max="7" width="12.7109375" customWidth="1"/>
    <col min="8" max="8" width="25.42578125" customWidth="1"/>
    <col min="9" max="10" width="25.5703125" bestFit="1" customWidth="1"/>
  </cols>
  <sheetData>
    <row r="1" spans="2:10" ht="15.75" thickBot="1" x14ac:dyDescent="0.3">
      <c r="B1" s="14" t="s">
        <v>21</v>
      </c>
    </row>
    <row r="2" spans="2:10" ht="23.25" x14ac:dyDescent="0.35">
      <c r="B2" s="8" t="s">
        <v>15</v>
      </c>
      <c r="C2" s="8" t="s">
        <v>16</v>
      </c>
      <c r="D2" s="8" t="s">
        <v>14</v>
      </c>
      <c r="E2" s="8" t="s">
        <v>17</v>
      </c>
      <c r="F2" s="8" t="s">
        <v>17</v>
      </c>
      <c r="G2" s="8" t="s">
        <v>19</v>
      </c>
      <c r="H2" s="11" t="s">
        <v>18</v>
      </c>
      <c r="I2" s="11" t="s">
        <v>20</v>
      </c>
      <c r="J2" s="11" t="s">
        <v>20</v>
      </c>
    </row>
    <row r="3" spans="2:10" s="1" customFormat="1" ht="18" customHeight="1" x14ac:dyDescent="0.25">
      <c r="B3" s="2" t="s">
        <v>0</v>
      </c>
      <c r="C3" s="3">
        <v>25000</v>
      </c>
      <c r="D3" s="22">
        <v>4</v>
      </c>
      <c r="E3" s="12">
        <v>0</v>
      </c>
      <c r="F3" s="18">
        <f>+SUM(E3:E5)</f>
        <v>0</v>
      </c>
      <c r="G3" s="15">
        <f>F3/D3</f>
        <v>0</v>
      </c>
      <c r="H3" s="9">
        <f>+C3*E3</f>
        <v>0</v>
      </c>
      <c r="I3" s="9">
        <f>IF(G3&gt;=100%,H3+H4+H5,0)</f>
        <v>0</v>
      </c>
      <c r="J3" s="19">
        <f>+SUM(H3:I16)</f>
        <v>140000</v>
      </c>
    </row>
    <row r="4" spans="2:10" s="1" customFormat="1" ht="18" customHeight="1" x14ac:dyDescent="0.25">
      <c r="B4" s="2" t="s">
        <v>1</v>
      </c>
      <c r="C4" s="3">
        <v>40000</v>
      </c>
      <c r="D4" s="23"/>
      <c r="E4" s="12">
        <v>0</v>
      </c>
      <c r="F4" s="18"/>
      <c r="G4" s="15"/>
      <c r="H4" s="9">
        <f t="shared" ref="H4:H16" si="0">+C4*E4</f>
        <v>0</v>
      </c>
      <c r="I4" s="9">
        <f t="shared" ref="I4:I13" si="1">IF(G4&gt;=100%,H4,0)</f>
        <v>0</v>
      </c>
      <c r="J4" s="20"/>
    </row>
    <row r="5" spans="2:10" s="1" customFormat="1" ht="18" customHeight="1" x14ac:dyDescent="0.25">
      <c r="B5" s="2" t="s">
        <v>2</v>
      </c>
      <c r="C5" s="3">
        <v>50000</v>
      </c>
      <c r="D5" s="24"/>
      <c r="E5" s="12">
        <v>0</v>
      </c>
      <c r="F5" s="18"/>
      <c r="G5" s="15"/>
      <c r="H5" s="9">
        <f t="shared" si="0"/>
        <v>0</v>
      </c>
      <c r="I5" s="9">
        <f t="shared" si="1"/>
        <v>0</v>
      </c>
      <c r="J5" s="20"/>
    </row>
    <row r="6" spans="2:10" s="1" customFormat="1" ht="18" customHeight="1" x14ac:dyDescent="0.25">
      <c r="B6" s="2" t="s">
        <v>3</v>
      </c>
      <c r="C6" s="3">
        <v>15000</v>
      </c>
      <c r="D6" s="18">
        <v>3</v>
      </c>
      <c r="E6" s="12">
        <v>0</v>
      </c>
      <c r="F6" s="18">
        <f>+SUM(E6:E7)</f>
        <v>0</v>
      </c>
      <c r="G6" s="15">
        <f>F6/D6</f>
        <v>0</v>
      </c>
      <c r="H6" s="9">
        <f t="shared" si="0"/>
        <v>0</v>
      </c>
      <c r="I6" s="9">
        <f>IF(G6&gt;=100%,H6+H7,0)</f>
        <v>0</v>
      </c>
      <c r="J6" s="20"/>
    </row>
    <row r="7" spans="2:10" s="1" customFormat="1" ht="18" customHeight="1" x14ac:dyDescent="0.25">
      <c r="B7" s="2" t="s">
        <v>4</v>
      </c>
      <c r="C7" s="3">
        <v>20000</v>
      </c>
      <c r="D7" s="18"/>
      <c r="E7" s="12">
        <v>0</v>
      </c>
      <c r="F7" s="18"/>
      <c r="G7" s="15"/>
      <c r="H7" s="9">
        <f t="shared" si="0"/>
        <v>0</v>
      </c>
      <c r="I7" s="9">
        <f t="shared" si="1"/>
        <v>0</v>
      </c>
      <c r="J7" s="20"/>
    </row>
    <row r="8" spans="2:10" s="1" customFormat="1" ht="18" customHeight="1" x14ac:dyDescent="0.25">
      <c r="B8" s="2" t="s">
        <v>5</v>
      </c>
      <c r="C8" s="3">
        <v>30000</v>
      </c>
      <c r="D8" s="16">
        <v>7</v>
      </c>
      <c r="E8" s="12">
        <v>0</v>
      </c>
      <c r="F8" s="16">
        <f>+SUM(E8:E11)</f>
        <v>0</v>
      </c>
      <c r="G8" s="17">
        <f>F8/D8</f>
        <v>0</v>
      </c>
      <c r="H8" s="9">
        <f t="shared" si="0"/>
        <v>0</v>
      </c>
      <c r="I8" s="9">
        <f>IF(G8&gt;=100%,H8+H9+H10+H11,0)</f>
        <v>0</v>
      </c>
      <c r="J8" s="20"/>
    </row>
    <row r="9" spans="2:10" s="1" customFormat="1" ht="18" customHeight="1" x14ac:dyDescent="0.25">
      <c r="B9" s="2" t="s">
        <v>6</v>
      </c>
      <c r="C9" s="3">
        <v>25000</v>
      </c>
      <c r="D9" s="16"/>
      <c r="E9" s="12">
        <v>0</v>
      </c>
      <c r="F9" s="16"/>
      <c r="G9" s="17"/>
      <c r="H9" s="9">
        <f t="shared" si="0"/>
        <v>0</v>
      </c>
      <c r="I9" s="9">
        <f t="shared" si="1"/>
        <v>0</v>
      </c>
      <c r="J9" s="20"/>
    </row>
    <row r="10" spans="2:10" s="1" customFormat="1" ht="18" customHeight="1" x14ac:dyDescent="0.25">
      <c r="B10" s="2" t="s">
        <v>7</v>
      </c>
      <c r="C10" s="4">
        <v>20000</v>
      </c>
      <c r="D10" s="16"/>
      <c r="E10" s="12">
        <v>0</v>
      </c>
      <c r="F10" s="16"/>
      <c r="G10" s="17"/>
      <c r="H10" s="9">
        <f t="shared" si="0"/>
        <v>0</v>
      </c>
      <c r="I10" s="9">
        <f t="shared" si="1"/>
        <v>0</v>
      </c>
      <c r="J10" s="20"/>
    </row>
    <row r="11" spans="2:10" s="1" customFormat="1" ht="18" customHeight="1" x14ac:dyDescent="0.25">
      <c r="B11" s="2" t="s">
        <v>8</v>
      </c>
      <c r="C11" s="5">
        <v>15000</v>
      </c>
      <c r="D11" s="16"/>
      <c r="E11" s="12">
        <v>0</v>
      </c>
      <c r="F11" s="16"/>
      <c r="G11" s="17"/>
      <c r="H11" s="9">
        <f t="shared" si="0"/>
        <v>0</v>
      </c>
      <c r="I11" s="9">
        <f t="shared" si="1"/>
        <v>0</v>
      </c>
      <c r="J11" s="20"/>
    </row>
    <row r="12" spans="2:10" s="1" customFormat="1" ht="18" customHeight="1" x14ac:dyDescent="0.25">
      <c r="B12" s="2" t="s">
        <v>9</v>
      </c>
      <c r="C12" s="5">
        <v>10000</v>
      </c>
      <c r="D12" s="18">
        <v>6</v>
      </c>
      <c r="E12" s="12">
        <v>7</v>
      </c>
      <c r="F12" s="18">
        <v>6</v>
      </c>
      <c r="G12" s="15">
        <f>F12/D12</f>
        <v>1</v>
      </c>
      <c r="H12" s="9">
        <f t="shared" si="0"/>
        <v>70000</v>
      </c>
      <c r="I12" s="9">
        <f>IF(G12&gt;=100%,H12+H13,0)</f>
        <v>70000</v>
      </c>
      <c r="J12" s="20"/>
    </row>
    <row r="13" spans="2:10" s="1" customFormat="1" ht="18" customHeight="1" x14ac:dyDescent="0.25">
      <c r="B13" s="2" t="s">
        <v>10</v>
      </c>
      <c r="C13" s="5">
        <v>10000</v>
      </c>
      <c r="D13" s="18"/>
      <c r="E13" s="12">
        <v>0</v>
      </c>
      <c r="F13" s="18"/>
      <c r="G13" s="15"/>
      <c r="H13" s="9">
        <f t="shared" si="0"/>
        <v>0</v>
      </c>
      <c r="I13" s="9">
        <f t="shared" si="1"/>
        <v>0</v>
      </c>
      <c r="J13" s="20"/>
    </row>
    <row r="14" spans="2:10" s="1" customFormat="1" ht="18" customHeight="1" x14ac:dyDescent="0.25">
      <c r="B14" s="2" t="s">
        <v>11</v>
      </c>
      <c r="C14" s="3">
        <v>1000</v>
      </c>
      <c r="D14" s="6">
        <v>60</v>
      </c>
      <c r="E14" s="12">
        <v>0</v>
      </c>
      <c r="F14" s="6">
        <f>+E14</f>
        <v>0</v>
      </c>
      <c r="G14" s="10">
        <f>F14/D14</f>
        <v>0</v>
      </c>
      <c r="H14" s="9">
        <f t="shared" si="0"/>
        <v>0</v>
      </c>
      <c r="I14" s="9">
        <f>IF(G14&gt;=100%,H14,0)</f>
        <v>0</v>
      </c>
      <c r="J14" s="20"/>
    </row>
    <row r="15" spans="2:10" s="1" customFormat="1" ht="18" customHeight="1" x14ac:dyDescent="0.25">
      <c r="B15" s="2" t="s">
        <v>12</v>
      </c>
      <c r="C15" s="3">
        <v>10000</v>
      </c>
      <c r="D15" s="7">
        <v>2</v>
      </c>
      <c r="E15" s="12">
        <v>0</v>
      </c>
      <c r="F15" s="6">
        <f t="shared" ref="F15:F16" si="2">+E15</f>
        <v>0</v>
      </c>
      <c r="G15" s="10">
        <f t="shared" ref="G15:G16" si="3">F15/D15</f>
        <v>0</v>
      </c>
      <c r="H15" s="9">
        <f t="shared" si="0"/>
        <v>0</v>
      </c>
      <c r="I15" s="9">
        <f t="shared" ref="I15:I16" si="4">IF(G15&gt;=100%,H15,0)</f>
        <v>0</v>
      </c>
      <c r="J15" s="20"/>
    </row>
    <row r="16" spans="2:10" s="1" customFormat="1" ht="18" customHeight="1" x14ac:dyDescent="0.25">
      <c r="B16" s="2" t="s">
        <v>13</v>
      </c>
      <c r="C16" s="3">
        <v>10000</v>
      </c>
      <c r="D16" s="6">
        <v>2</v>
      </c>
      <c r="E16" s="12">
        <v>0</v>
      </c>
      <c r="F16" s="6">
        <f t="shared" si="2"/>
        <v>0</v>
      </c>
      <c r="G16" s="10">
        <f t="shared" si="3"/>
        <v>0</v>
      </c>
      <c r="H16" s="9">
        <f t="shared" si="0"/>
        <v>0</v>
      </c>
      <c r="I16" s="9">
        <f t="shared" si="4"/>
        <v>0</v>
      </c>
      <c r="J16" s="21"/>
    </row>
    <row r="17" spans="2:10" ht="18.75" x14ac:dyDescent="0.3">
      <c r="D17" s="13">
        <f>SUM(D3:D16)</f>
        <v>84</v>
      </c>
    </row>
    <row r="20" spans="2:10" ht="15.75" thickBot="1" x14ac:dyDescent="0.3">
      <c r="B20" s="14" t="s">
        <v>21</v>
      </c>
    </row>
    <row r="21" spans="2:10" ht="23.25" x14ac:dyDescent="0.35">
      <c r="B21" s="8" t="s">
        <v>15</v>
      </c>
      <c r="C21" s="8" t="s">
        <v>16</v>
      </c>
      <c r="D21" s="8" t="s">
        <v>14</v>
      </c>
      <c r="E21" s="8" t="s">
        <v>17</v>
      </c>
      <c r="F21" s="8" t="s">
        <v>17</v>
      </c>
      <c r="G21" s="8" t="s">
        <v>19</v>
      </c>
      <c r="H21" s="11" t="s">
        <v>18</v>
      </c>
      <c r="I21" s="11" t="s">
        <v>20</v>
      </c>
      <c r="J21" s="11" t="s">
        <v>20</v>
      </c>
    </row>
    <row r="22" spans="2:10" ht="18.75" x14ac:dyDescent="0.25">
      <c r="B22" s="2" t="s">
        <v>0</v>
      </c>
      <c r="C22" s="3">
        <v>25000</v>
      </c>
      <c r="D22" s="22">
        <v>6</v>
      </c>
      <c r="E22" s="12">
        <v>0</v>
      </c>
      <c r="F22" s="18">
        <f>+SUM(E22:E24)</f>
        <v>0</v>
      </c>
      <c r="G22" s="15">
        <f>F22/D22</f>
        <v>0</v>
      </c>
      <c r="H22" s="9">
        <f>+C22*E22</f>
        <v>0</v>
      </c>
      <c r="I22" s="9">
        <f>IF(G22&gt;=100%,H22+H23+H24,0)</f>
        <v>0</v>
      </c>
      <c r="J22" s="19">
        <f>+SUM(H22:I35)</f>
        <v>0</v>
      </c>
    </row>
    <row r="23" spans="2:10" ht="18.75" x14ac:dyDescent="0.25">
      <c r="B23" s="2" t="s">
        <v>1</v>
      </c>
      <c r="C23" s="3">
        <v>40000</v>
      </c>
      <c r="D23" s="23"/>
      <c r="E23" s="12">
        <v>0</v>
      </c>
      <c r="F23" s="18"/>
      <c r="G23" s="15"/>
      <c r="H23" s="9">
        <f t="shared" ref="H23:H35" si="5">+C23*E23</f>
        <v>0</v>
      </c>
      <c r="I23" s="9">
        <f t="shared" ref="I23:I24" si="6">IF(G23&gt;=100%,H23,0)</f>
        <v>0</v>
      </c>
      <c r="J23" s="20"/>
    </row>
    <row r="24" spans="2:10" ht="18.75" x14ac:dyDescent="0.25">
      <c r="B24" s="2" t="s">
        <v>2</v>
      </c>
      <c r="C24" s="3">
        <v>50000</v>
      </c>
      <c r="D24" s="24"/>
      <c r="E24" s="12">
        <v>0</v>
      </c>
      <c r="F24" s="18"/>
      <c r="G24" s="15"/>
      <c r="H24" s="9">
        <f t="shared" si="5"/>
        <v>0</v>
      </c>
      <c r="I24" s="9">
        <f t="shared" si="6"/>
        <v>0</v>
      </c>
      <c r="J24" s="20"/>
    </row>
    <row r="25" spans="2:10" ht="18.75" x14ac:dyDescent="0.25">
      <c r="B25" s="2" t="s">
        <v>3</v>
      </c>
      <c r="C25" s="3">
        <v>15000</v>
      </c>
      <c r="D25" s="18">
        <v>4</v>
      </c>
      <c r="E25" s="12">
        <v>0</v>
      </c>
      <c r="F25" s="18">
        <f>+SUM(E25:E26)</f>
        <v>0</v>
      </c>
      <c r="G25" s="15">
        <f>F25/D25</f>
        <v>0</v>
      </c>
      <c r="H25" s="9">
        <f t="shared" si="5"/>
        <v>0</v>
      </c>
      <c r="I25" s="9">
        <f>IF(G25&gt;=100%,H25+H26,0)</f>
        <v>0</v>
      </c>
      <c r="J25" s="20"/>
    </row>
    <row r="26" spans="2:10" ht="18.75" x14ac:dyDescent="0.25">
      <c r="B26" s="2" t="s">
        <v>4</v>
      </c>
      <c r="C26" s="3">
        <v>20000</v>
      </c>
      <c r="D26" s="18"/>
      <c r="E26" s="12">
        <v>0</v>
      </c>
      <c r="F26" s="18"/>
      <c r="G26" s="15"/>
      <c r="H26" s="9">
        <f t="shared" si="5"/>
        <v>0</v>
      </c>
      <c r="I26" s="9">
        <f t="shared" ref="I26" si="7">IF(G26&gt;=100%,H26,0)</f>
        <v>0</v>
      </c>
      <c r="J26" s="20"/>
    </row>
    <row r="27" spans="2:10" ht="18.75" x14ac:dyDescent="0.25">
      <c r="B27" s="2" t="s">
        <v>5</v>
      </c>
      <c r="C27" s="3">
        <v>30000</v>
      </c>
      <c r="D27" s="16">
        <v>10</v>
      </c>
      <c r="E27" s="12">
        <v>0</v>
      </c>
      <c r="F27" s="16">
        <f>+SUM(E27:E30)</f>
        <v>0</v>
      </c>
      <c r="G27" s="17">
        <f>F27/D27</f>
        <v>0</v>
      </c>
      <c r="H27" s="9">
        <f t="shared" si="5"/>
        <v>0</v>
      </c>
      <c r="I27" s="9">
        <f>IF(G27&gt;=100%,H27+H28+H29+H30,0)</f>
        <v>0</v>
      </c>
      <c r="J27" s="20"/>
    </row>
    <row r="28" spans="2:10" ht="18.75" x14ac:dyDescent="0.25">
      <c r="B28" s="2" t="s">
        <v>6</v>
      </c>
      <c r="C28" s="3">
        <v>25000</v>
      </c>
      <c r="D28" s="16"/>
      <c r="E28" s="12">
        <v>0</v>
      </c>
      <c r="F28" s="16"/>
      <c r="G28" s="17"/>
      <c r="H28" s="9">
        <f t="shared" si="5"/>
        <v>0</v>
      </c>
      <c r="I28" s="9">
        <f t="shared" ref="I28:I30" si="8">IF(G28&gt;=100%,H28,0)</f>
        <v>0</v>
      </c>
      <c r="J28" s="20"/>
    </row>
    <row r="29" spans="2:10" ht="18.75" x14ac:dyDescent="0.25">
      <c r="B29" s="2" t="s">
        <v>7</v>
      </c>
      <c r="C29" s="4">
        <v>20000</v>
      </c>
      <c r="D29" s="16"/>
      <c r="E29" s="12">
        <v>0</v>
      </c>
      <c r="F29" s="16"/>
      <c r="G29" s="17"/>
      <c r="H29" s="9">
        <f t="shared" si="5"/>
        <v>0</v>
      </c>
      <c r="I29" s="9">
        <f t="shared" si="8"/>
        <v>0</v>
      </c>
      <c r="J29" s="20"/>
    </row>
    <row r="30" spans="2:10" ht="18.75" x14ac:dyDescent="0.25">
      <c r="B30" s="2" t="s">
        <v>8</v>
      </c>
      <c r="C30" s="5">
        <v>15000</v>
      </c>
      <c r="D30" s="16"/>
      <c r="E30" s="12">
        <v>0</v>
      </c>
      <c r="F30" s="16"/>
      <c r="G30" s="17"/>
      <c r="H30" s="9">
        <f t="shared" si="5"/>
        <v>0</v>
      </c>
      <c r="I30" s="9">
        <f t="shared" si="8"/>
        <v>0</v>
      </c>
      <c r="J30" s="20"/>
    </row>
    <row r="31" spans="2:10" ht="18.75" x14ac:dyDescent="0.25">
      <c r="B31" s="2" t="s">
        <v>9</v>
      </c>
      <c r="C31" s="5">
        <v>10000</v>
      </c>
      <c r="D31" s="18">
        <v>10</v>
      </c>
      <c r="E31" s="12">
        <v>0</v>
      </c>
      <c r="F31" s="18">
        <f>+SUM(E31:E32)</f>
        <v>0</v>
      </c>
      <c r="G31" s="15">
        <f>F31/D31</f>
        <v>0</v>
      </c>
      <c r="H31" s="9">
        <f t="shared" si="5"/>
        <v>0</v>
      </c>
      <c r="I31" s="9">
        <f>IF(G31&gt;=100%,H31+H32,0)</f>
        <v>0</v>
      </c>
      <c r="J31" s="20"/>
    </row>
    <row r="32" spans="2:10" ht="18.75" x14ac:dyDescent="0.25">
      <c r="B32" s="2" t="s">
        <v>10</v>
      </c>
      <c r="C32" s="5">
        <v>10000</v>
      </c>
      <c r="D32" s="18"/>
      <c r="E32" s="12">
        <v>0</v>
      </c>
      <c r="F32" s="18"/>
      <c r="G32" s="15"/>
      <c r="H32" s="9">
        <f t="shared" si="5"/>
        <v>0</v>
      </c>
      <c r="I32" s="9">
        <f t="shared" ref="I32" si="9">IF(G32&gt;=100%,H32,0)</f>
        <v>0</v>
      </c>
      <c r="J32" s="20"/>
    </row>
    <row r="33" spans="2:10" ht="18.75" x14ac:dyDescent="0.25">
      <c r="B33" s="2" t="s">
        <v>11</v>
      </c>
      <c r="C33" s="3">
        <v>1000</v>
      </c>
      <c r="D33" s="6">
        <v>100</v>
      </c>
      <c r="E33" s="12">
        <v>0</v>
      </c>
      <c r="F33" s="6">
        <f>+E33</f>
        <v>0</v>
      </c>
      <c r="G33" s="10">
        <f>F33/D33</f>
        <v>0</v>
      </c>
      <c r="H33" s="9">
        <f t="shared" si="5"/>
        <v>0</v>
      </c>
      <c r="I33" s="9">
        <f>IF(G33&gt;=100%,H33,0)</f>
        <v>0</v>
      </c>
      <c r="J33" s="20"/>
    </row>
    <row r="34" spans="2:10" ht="18.75" x14ac:dyDescent="0.25">
      <c r="B34" s="2" t="s">
        <v>12</v>
      </c>
      <c r="C34" s="3">
        <v>10000</v>
      </c>
      <c r="D34" s="7">
        <v>2</v>
      </c>
      <c r="E34" s="12">
        <v>0</v>
      </c>
      <c r="F34" s="6">
        <f t="shared" ref="F34:F35" si="10">+E34</f>
        <v>0</v>
      </c>
      <c r="G34" s="10">
        <f t="shared" ref="G34:G35" si="11">F34/D34</f>
        <v>0</v>
      </c>
      <c r="H34" s="9">
        <f t="shared" si="5"/>
        <v>0</v>
      </c>
      <c r="I34" s="9">
        <f t="shared" ref="I34:I35" si="12">IF(G34&gt;=100%,H34,0)</f>
        <v>0</v>
      </c>
      <c r="J34" s="20"/>
    </row>
    <row r="35" spans="2:10" ht="18.75" x14ac:dyDescent="0.25">
      <c r="B35" s="2" t="s">
        <v>13</v>
      </c>
      <c r="C35" s="3">
        <v>10000</v>
      </c>
      <c r="D35" s="6">
        <v>2</v>
      </c>
      <c r="E35" s="12">
        <v>0</v>
      </c>
      <c r="F35" s="6">
        <f t="shared" si="10"/>
        <v>0</v>
      </c>
      <c r="G35" s="10">
        <f t="shared" si="11"/>
        <v>0</v>
      </c>
      <c r="H35" s="9">
        <f t="shared" si="5"/>
        <v>0</v>
      </c>
      <c r="I35" s="9">
        <f t="shared" si="12"/>
        <v>0</v>
      </c>
      <c r="J35" s="21"/>
    </row>
    <row r="36" spans="2:10" ht="18.75" x14ac:dyDescent="0.3">
      <c r="D36" s="13">
        <f>SUM(D22:D35)</f>
        <v>134</v>
      </c>
    </row>
  </sheetData>
  <mergeCells count="26">
    <mergeCell ref="G8:G11"/>
    <mergeCell ref="G12:G13"/>
    <mergeCell ref="F3:F5"/>
    <mergeCell ref="F6:F7"/>
    <mergeCell ref="F8:F11"/>
    <mergeCell ref="F12:F13"/>
    <mergeCell ref="J3:J16"/>
    <mergeCell ref="D22:D24"/>
    <mergeCell ref="F22:F24"/>
    <mergeCell ref="G22:G24"/>
    <mergeCell ref="J22:J35"/>
    <mergeCell ref="D25:D26"/>
    <mergeCell ref="F25:F26"/>
    <mergeCell ref="D3:D5"/>
    <mergeCell ref="D6:D7"/>
    <mergeCell ref="D8:D11"/>
    <mergeCell ref="D12:D13"/>
    <mergeCell ref="G3:G5"/>
    <mergeCell ref="G6:G7"/>
    <mergeCell ref="G25:G26"/>
    <mergeCell ref="D27:D30"/>
    <mergeCell ref="F27:F30"/>
    <mergeCell ref="G27:G30"/>
    <mergeCell ref="D31:D32"/>
    <mergeCell ref="F31:F32"/>
    <mergeCell ref="G31:G3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2026-07-16T06:04:47Z</dcterms:created>
  <dcterms:modified xsi:type="dcterms:W3CDTF">2026-07-22T07:50:38Z</dcterms:modified>
</cp:coreProperties>
</file>